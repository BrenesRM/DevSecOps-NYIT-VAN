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e\OneDrive\Attachments\Documents\NYIT 2024\INCS-870-VA-2025-PROJECT-1\Test Cases\"/>
    </mc:Choice>
  </mc:AlternateContent>
  <xr:revisionPtr revIDLastSave="0" documentId="13_ncr:1_{A9A5E0F8-11DF-4834-870F-2E745B517BBA}" xr6:coauthVersionLast="47" xr6:coauthVersionMax="47" xr10:uidLastSave="{00000000-0000-0000-0000-000000000000}"/>
  <bookViews>
    <workbookView xWindow="-108" yWindow="-108" windowWidth="23256" windowHeight="12456" activeTab="1" xr2:uid="{4A7679FF-104A-4756-B5BB-145425FE044B}"/>
  </bookViews>
  <sheets>
    <sheet name="Definition" sheetId="1" r:id="rId1"/>
    <sheet name="Formula" sheetId="2" r:id="rId2"/>
    <sheet name="Test Case 1" sheetId="3" r:id="rId3"/>
    <sheet name="Test Case 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4" i="4"/>
  <c r="B5" i="4"/>
  <c r="B6" i="4"/>
  <c r="C4" i="4"/>
  <c r="F4" i="4" s="1"/>
  <c r="C5" i="4"/>
  <c r="F5" i="4" s="1"/>
  <c r="C6" i="4"/>
  <c r="F6" i="4" s="1"/>
  <c r="G6" i="3"/>
  <c r="B3" i="4"/>
  <c r="B2" i="4"/>
  <c r="G3" i="3"/>
  <c r="G4" i="3"/>
  <c r="G2" i="3"/>
  <c r="J2" i="3"/>
  <c r="C2" i="4" l="1"/>
  <c r="F2" i="4" s="1"/>
  <c r="C3" i="4"/>
  <c r="F3" i="4" s="1"/>
</calcChain>
</file>

<file path=xl/sharedStrings.xml><?xml version="1.0" encoding="utf-8"?>
<sst xmlns="http://schemas.openxmlformats.org/spreadsheetml/2006/main" count="92" uniqueCount="71">
  <si>
    <t>Tool</t>
  </si>
  <si>
    <t>Test Case Category</t>
  </si>
  <si>
    <t>Test Case Example</t>
  </si>
  <si>
    <t>Success Formula</t>
  </si>
  <si>
    <t>CodeQL</t>
  </si>
  <si>
    <t>Code Vulnerability Detection</t>
  </si>
  <si>
    <r>
      <t>SQL Injection in </t>
    </r>
    <r>
      <rPr>
        <sz val="9.6"/>
        <color rgb="FF404040"/>
        <rFont val="Aptos Narrow"/>
        <family val="2"/>
        <scheme val="minor"/>
      </rPr>
      <t>app.py</t>
    </r>
    <r>
      <rPr>
        <sz val="10"/>
        <color rgb="FF404040"/>
        <rFont val="Segoe UI"/>
        <family val="2"/>
      </rPr>
      <t> line 45</t>
    </r>
  </si>
  <si>
    <t>(True Positives / Total Findings) × 100</t>
  </si>
  <si>
    <t>SnykCode</t>
  </si>
  <si>
    <t>Dependency &amp; Code Risk Analysis</t>
  </si>
  <si>
    <r>
      <t>Outdated </t>
    </r>
    <r>
      <rPr>
        <sz val="9.6"/>
        <color rgb="FF404040"/>
        <rFont val="Aptos Narrow"/>
        <family val="2"/>
        <scheme val="minor"/>
      </rPr>
      <t>flask==1.0.0</t>
    </r>
    <r>
      <rPr>
        <sz val="10"/>
        <color rgb="FF404040"/>
        <rFont val="Segoe UI"/>
        <family val="2"/>
      </rPr>
      <t> in </t>
    </r>
    <r>
      <rPr>
        <sz val="9.6"/>
        <color rgb="FF404040"/>
        <rFont val="Aptos Narrow"/>
        <family val="2"/>
        <scheme val="minor"/>
      </rPr>
      <t>requirements.txt</t>
    </r>
  </si>
  <si>
    <t>(Critical Risks Mitigated / Total Risks) × 100</t>
  </si>
  <si>
    <t>Trivy</t>
  </si>
  <si>
    <t>Container/Image Scanning</t>
  </si>
  <si>
    <r>
      <t>CVE-2023-1234 in Docker </t>
    </r>
    <r>
      <rPr>
        <sz val="9.6"/>
        <color rgb="FF404040"/>
        <rFont val="Aptos Narrow"/>
        <family val="2"/>
        <scheme val="minor"/>
      </rPr>
      <t>python:3.8</t>
    </r>
    <r>
      <rPr>
        <sz val="10"/>
        <color rgb="FF404040"/>
        <rFont val="Segoe UI"/>
        <family val="2"/>
      </rPr>
      <t> image</t>
    </r>
  </si>
  <si>
    <t>(Patched Vulnerabilities / Total CVEs) × 100</t>
  </si>
  <si>
    <t>detect-secrets</t>
  </si>
  <si>
    <t>Secret Leak Prevention</t>
  </si>
  <si>
    <r>
      <t>Hardcoded AWS Key in </t>
    </r>
    <r>
      <rPr>
        <sz val="9.6"/>
        <color rgb="FF404040"/>
        <rFont val="Aptos Narrow"/>
        <family val="2"/>
        <scheme val="minor"/>
      </rPr>
      <t>config.yml</t>
    </r>
    <r>
      <rPr>
        <sz val="10"/>
        <color rgb="FF404040"/>
        <rFont val="Segoe UI"/>
        <family val="2"/>
      </rPr>
      <t> line 12</t>
    </r>
  </si>
  <si>
    <t>(Secrets Remediated / Total Secrets) × 100</t>
  </si>
  <si>
    <t>CodeScanAI</t>
  </si>
  <si>
    <t>AI-Powered Code Review</t>
  </si>
  <si>
    <r>
      <t>SSTI in </t>
    </r>
    <r>
      <rPr>
        <sz val="9.6"/>
        <color rgb="FF404040"/>
        <rFont val="Aptos Narrow"/>
        <family val="2"/>
        <scheme val="minor"/>
      </rPr>
      <t>render_template()</t>
    </r>
    <r>
      <rPr>
        <sz val="10"/>
        <color rgb="FF404040"/>
        <rFont val="Segoe UI"/>
        <family val="2"/>
      </rPr>
      <t> usage</t>
    </r>
  </si>
  <si>
    <t>(Valid Findings / Total Findings) × 100</t>
  </si>
  <si>
    <t>Evaluate security tools effectiveness in a DevSecOps pipeline.</t>
  </si>
  <si>
    <t xml:space="preserve"># Example calculation for CodeQL  </t>
  </si>
  <si>
    <t xml:space="preserve">success_pct = ((true_positives - false_positives) / total_tests) * 100  # 80% </t>
  </si>
  <si>
    <t>Assign weights based on tool criticality (e.g., CodeQL=30%, Trivy=25%).</t>
  </si>
  <si>
    <t>Publish precision/recall metrics alongside effectiveness scores.</t>
  </si>
  <si>
    <r>
      <t>1. Academic Metric</t>
    </r>
    <r>
      <rPr>
        <sz val="10"/>
        <rFont val="Segoe UI"/>
        <family val="2"/>
      </rPr>
      <t>:</t>
    </r>
  </si>
  <si>
    <t>Test Case ID</t>
  </si>
  <si>
    <t>Description</t>
  </si>
  <si>
    <t>Type</t>
  </si>
  <si>
    <t>Expected Result</t>
  </si>
  <si>
    <t>Actual Result</t>
  </si>
  <si>
    <t>Status</t>
  </si>
  <si>
    <t>Date</t>
  </si>
  <si>
    <t>Notes</t>
  </si>
  <si>
    <t>TC-001</t>
  </si>
  <si>
    <r>
      <t>SQL Injection in </t>
    </r>
    <r>
      <rPr>
        <sz val="9.6"/>
        <color rgb="FF404040"/>
        <rFont val="Aptos Narrow"/>
        <family val="2"/>
        <scheme val="minor"/>
      </rPr>
      <t>app.py</t>
    </r>
    <r>
      <rPr>
        <sz val="10"/>
        <color rgb="FF404040"/>
        <rFont val="Segoe UI"/>
        <family val="2"/>
      </rPr>
      <t> L45</t>
    </r>
  </si>
  <si>
    <t>SQLi</t>
  </si>
  <si>
    <t>Vulnerability Found</t>
  </si>
  <si>
    <t>Flagged</t>
  </si>
  <si>
    <t>Pass</t>
  </si>
  <si>
    <t>Manual review required</t>
  </si>
  <si>
    <t>TC-002</t>
  </si>
  <si>
    <r>
      <t>CVE-2023-1234 in </t>
    </r>
    <r>
      <rPr>
        <sz val="9.6"/>
        <color rgb="FF404040"/>
        <rFont val="Aptos Narrow"/>
        <family val="2"/>
        <scheme val="minor"/>
      </rPr>
      <t>python:3.8</t>
    </r>
  </si>
  <si>
    <t>CVE</t>
  </si>
  <si>
    <t>Not Detected</t>
  </si>
  <si>
    <t>Needs patching</t>
  </si>
  <si>
    <t>TC-003</t>
  </si>
  <si>
    <t>Secret</t>
  </si>
  <si>
    <t>Secret Flagged</t>
  </si>
  <si>
    <t>False positive</t>
  </si>
  <si>
    <t>Total Cases</t>
  </si>
  <si>
    <t>True Positives</t>
  </si>
  <si>
    <t>False Positives</t>
  </si>
  <si>
    <t>False Negatives</t>
  </si>
  <si>
    <t>Success %</t>
  </si>
  <si>
    <t>TC-004</t>
  </si>
  <si>
    <t>TC-005</t>
  </si>
  <si>
    <t>None</t>
  </si>
  <si>
    <t>Code</t>
  </si>
  <si>
    <t>Vulnerability</t>
  </si>
  <si>
    <r>
      <t>c</t>
    </r>
    <r>
      <rPr>
        <sz val="9.6"/>
        <color rgb="FF404040"/>
        <rFont val="Aptos Narrow"/>
        <family val="2"/>
        <scheme val="minor"/>
      </rPr>
      <t>onfig.yml</t>
    </r>
  </si>
  <si>
    <t>total_tests = 151</t>
  </si>
  <si>
    <t>true_positives = 140</t>
  </si>
  <si>
    <t>crach=30</t>
  </si>
  <si>
    <t>false_positives = 5</t>
  </si>
  <si>
    <t xml:space="preserve">total runs </t>
  </si>
  <si>
    <t xml:space="preserve">success_pct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</si>
</sst>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0"/>
      <color rgb="FF404040"/>
      <name val="Segoe UI"/>
      <family val="2"/>
    </font>
    <font>
      <sz val="10"/>
      <color rgb="FF404040"/>
      <name val="Segoe UI"/>
      <family val="2"/>
    </font>
    <font>
      <b/>
      <sz val="10"/>
      <color rgb="FF404040"/>
      <name val="Segoe UI"/>
      <family val="2"/>
    </font>
    <font>
      <sz val="9.6"/>
      <color rgb="FF404040"/>
      <name val="Aptos Narrow"/>
      <family val="2"/>
      <scheme val="minor"/>
    </font>
    <font>
      <sz val="8"/>
      <color rgb="FFFFFFFF"/>
      <name val="Aptos Narrow"/>
      <family val="2"/>
      <scheme val="minor"/>
    </font>
    <font>
      <b/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Segoe UI"/>
      <family val="2"/>
    </font>
    <font>
      <sz val="10"/>
      <name val="Segoe UI"/>
      <family val="2"/>
    </font>
    <font>
      <sz val="10"/>
      <color theme="0"/>
      <name val="Segoe U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14" fontId="2" fillId="0" borderId="0" xfId="0" applyNumberFormat="1" applyFont="1" applyAlignment="1">
      <alignment vertical="center" wrapText="1"/>
    </xf>
    <xf numFmtId="0" fontId="10" fillId="2" borderId="0" xfId="0" applyFont="1" applyFill="1" applyAlignment="1">
      <alignment vertical="center" wrapText="1"/>
    </xf>
    <xf numFmtId="9" fontId="2" fillId="0" borderId="0" xfId="0" applyNumberFormat="1" applyFont="1" applyAlignment="1">
      <alignment vertical="center" wrapText="1"/>
    </xf>
    <xf numFmtId="0" fontId="0" fillId="0" borderId="0" xfId="0" applyAlignment="1">
      <alignment horizontal="center"/>
    </xf>
    <xf numFmtId="9" fontId="7" fillId="0" borderId="0" xfId="1" applyFont="1"/>
  </cellXfs>
  <cellStyles count="2">
    <cellStyle name="Normal" xfId="0" builtinId="0"/>
    <cellStyle name="Percent" xfId="1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04040"/>
        <name val="Segoe UI"/>
        <family val="2"/>
        <scheme val="none"/>
      </font>
      <numFmt numFmtId="13" formatCode="0%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04040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04040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04040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04040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04040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04040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404040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04040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04040"/>
        <name val="Segoe UI"/>
        <family val="2"/>
        <scheme val="none"/>
      </font>
      <numFmt numFmtId="19" formatCode="yyyy/mm/dd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04040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04040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04040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04040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04040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04040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04040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04040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404040"/>
        <name val="Segoe UI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8</xdr:row>
      <xdr:rowOff>99060</xdr:rowOff>
    </xdr:from>
    <xdr:to>
      <xdr:col>3</xdr:col>
      <xdr:colOff>617651</xdr:colOff>
      <xdr:row>25</xdr:row>
      <xdr:rowOff>38364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413058-578F-FC8C-5842-8E542EEC5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" y="1607820"/>
          <a:ext cx="4976291" cy="304826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F88B32-78C5-4723-9489-AE58F7FBBC6B}" name="Table1" displayName="Table1" ref="A1:I6" totalsRowShown="0" headerRowDxfId="18" dataDxfId="17">
  <autoFilter ref="A1:I6" xr:uid="{C2F88B32-78C5-4723-9489-AE58F7FBBC6B}"/>
  <tableColumns count="9">
    <tableColumn id="1" xr3:uid="{F114AD72-4AD6-4189-B268-2AA17E921857}" name="Tool" dataDxfId="16"/>
    <tableColumn id="2" xr3:uid="{6B473278-2D56-4DE5-96D7-54F4E4081BE0}" name="Test Case ID" dataDxfId="15"/>
    <tableColumn id="3" xr3:uid="{15C26599-EAA8-4354-8931-3B57E455B814}" name="Description" dataDxfId="14"/>
    <tableColumn id="4" xr3:uid="{BF49303B-2991-40A3-8136-84B4C036D75E}" name="Type" dataDxfId="13"/>
    <tableColumn id="5" xr3:uid="{82240125-A7AC-4A1B-B71F-47F8528208E4}" name="Expected Result" dataDxfId="12"/>
    <tableColumn id="6" xr3:uid="{D5BDA6B4-F2CD-4B59-BE4A-C527D4CAD241}" name="Actual Result" dataDxfId="11"/>
    <tableColumn id="7" xr3:uid="{111B85B8-24DC-421E-AE86-700E77DD2C11}" name="Status" dataDxfId="10">
      <calculatedColumnFormula>IF(F3=E3, "Pass", "Fail")</calculatedColumnFormula>
    </tableColumn>
    <tableColumn id="8" xr3:uid="{383E8E74-9A54-45F6-8321-23B0EC6B19A3}" name="Date" dataDxfId="9"/>
    <tableColumn id="9" xr3:uid="{494D11C3-4A7F-412E-AAAD-320F866A2FC6}" name="Notes" dataDxfId="8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F55BF4-532A-4E6B-8931-7029815E20FC}" name="Table2" displayName="Table2" ref="A1:F6" totalsRowShown="0" headerRowDxfId="7" dataDxfId="6">
  <autoFilter ref="A1:F6" xr:uid="{F7F55BF4-532A-4E6B-8931-7029815E20FC}"/>
  <tableColumns count="6">
    <tableColumn id="1" xr3:uid="{B342543E-3F1C-498E-B98E-7BF5C30D6570}" name="Tool" dataDxfId="5"/>
    <tableColumn id="2" xr3:uid="{DCAD9437-3862-4999-89AA-3928215365BB}" name="Total Cases" dataDxfId="4">
      <calculatedColumnFormula>COUNTIF('Test Case 1'!A:A, A2)</calculatedColumnFormula>
    </tableColumn>
    <tableColumn id="3" xr3:uid="{CE622380-A383-4EE0-BB09-721E1175D5E3}" name="True Positives" dataDxfId="3">
      <calculatedColumnFormula>COUNTIFS('Test Case 1'!A:A, A2, 'Test Case 1'!G:G, "Pass")</calculatedColumnFormula>
    </tableColumn>
    <tableColumn id="4" xr3:uid="{5A705EC8-DE63-45A3-839E-92C2AABA1FE5}" name="False Positives" dataDxfId="2"/>
    <tableColumn id="5" xr3:uid="{6FBE861C-0110-49A3-AF25-F62776BB4E36}" name="False Negatives" dataDxfId="1"/>
    <tableColumn id="6" xr3:uid="{FCE12E5A-6A81-4616-9576-1AA3234BEADE}" name="Success %" dataDxfId="0">
      <calculatedColumnFormula>((C2 - D2) / B2) * 100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3007-ACB5-4745-B11E-9A186C55391D}">
  <dimension ref="A2:D8"/>
  <sheetViews>
    <sheetView workbookViewId="0">
      <selection activeCell="F11" sqref="F11"/>
    </sheetView>
  </sheetViews>
  <sheetFormatPr defaultColWidth="38.109375" defaultRowHeight="14.4" x14ac:dyDescent="0.3"/>
  <cols>
    <col min="1" max="1" width="13.5546875" bestFit="1" customWidth="1"/>
    <col min="2" max="2" width="30.21875" bestFit="1" customWidth="1"/>
    <col min="3" max="3" width="37.109375" bestFit="1" customWidth="1"/>
    <col min="4" max="4" width="32.21875" bestFit="1" customWidth="1"/>
  </cols>
  <sheetData>
    <row r="2" spans="1:4" x14ac:dyDescent="0.3">
      <c r="A2" s="14" t="s">
        <v>24</v>
      </c>
      <c r="B2" s="14"/>
      <c r="C2" s="14"/>
      <c r="D2" s="14"/>
    </row>
    <row r="3" spans="1:4" ht="15" x14ac:dyDescent="0.3">
      <c r="A3" s="1" t="s">
        <v>0</v>
      </c>
      <c r="B3" s="1" t="s">
        <v>1</v>
      </c>
      <c r="C3" s="1" t="s">
        <v>2</v>
      </c>
      <c r="D3" s="1" t="s">
        <v>3</v>
      </c>
    </row>
    <row r="4" spans="1:4" ht="15" x14ac:dyDescent="0.3">
      <c r="A4" s="2" t="s">
        <v>4</v>
      </c>
      <c r="B4" s="3" t="s">
        <v>5</v>
      </c>
      <c r="C4" s="3" t="s">
        <v>6</v>
      </c>
      <c r="D4" s="4" t="s">
        <v>7</v>
      </c>
    </row>
    <row r="5" spans="1:4" ht="15" x14ac:dyDescent="0.3">
      <c r="A5" s="2" t="s">
        <v>8</v>
      </c>
      <c r="B5" s="3" t="s">
        <v>9</v>
      </c>
      <c r="C5" s="3" t="s">
        <v>10</v>
      </c>
      <c r="D5" s="4" t="s">
        <v>11</v>
      </c>
    </row>
    <row r="6" spans="1:4" ht="15" x14ac:dyDescent="0.3">
      <c r="A6" s="2" t="s">
        <v>12</v>
      </c>
      <c r="B6" s="3" t="s">
        <v>13</v>
      </c>
      <c r="C6" s="3" t="s">
        <v>14</v>
      </c>
      <c r="D6" s="4" t="s">
        <v>15</v>
      </c>
    </row>
    <row r="7" spans="1:4" ht="15" x14ac:dyDescent="0.3">
      <c r="A7" s="2" t="s">
        <v>16</v>
      </c>
      <c r="B7" s="3" t="s">
        <v>17</v>
      </c>
      <c r="C7" s="3" t="s">
        <v>18</v>
      </c>
      <c r="D7" s="4" t="s">
        <v>19</v>
      </c>
    </row>
    <row r="8" spans="1:4" ht="15" x14ac:dyDescent="0.3">
      <c r="A8" s="2" t="s">
        <v>20</v>
      </c>
      <c r="B8" s="3" t="s">
        <v>21</v>
      </c>
      <c r="C8" s="3" t="s">
        <v>22</v>
      </c>
      <c r="D8" s="4" t="s">
        <v>23</v>
      </c>
    </row>
  </sheetData>
  <mergeCells count="1">
    <mergeCell ref="A2:D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71376-8143-4B5F-8DEF-7E592FFADA19}">
  <dimension ref="A1:B21"/>
  <sheetViews>
    <sheetView tabSelected="1" workbookViewId="0">
      <selection activeCell="F13" sqref="F13"/>
    </sheetView>
  </sheetViews>
  <sheetFormatPr defaultRowHeight="14.4" x14ac:dyDescent="0.3"/>
  <cols>
    <col min="1" max="1" width="64.6640625" style="7" bestFit="1" customWidth="1"/>
    <col min="2" max="16384" width="8.88671875" style="7"/>
  </cols>
  <sheetData>
    <row r="1" spans="1:2" x14ac:dyDescent="0.3">
      <c r="A1" s="6" t="s">
        <v>25</v>
      </c>
    </row>
    <row r="2" spans="1:2" x14ac:dyDescent="0.3">
      <c r="A2" s="6" t="s">
        <v>66</v>
      </c>
      <c r="B2" s="7">
        <v>140</v>
      </c>
    </row>
    <row r="3" spans="1:2" x14ac:dyDescent="0.3">
      <c r="A3" s="6" t="s">
        <v>68</v>
      </c>
      <c r="B3" s="7">
        <v>35</v>
      </c>
    </row>
    <row r="4" spans="1:2" x14ac:dyDescent="0.3">
      <c r="A4" s="6" t="s">
        <v>67</v>
      </c>
    </row>
    <row r="5" spans="1:2" x14ac:dyDescent="0.3">
      <c r="A5" s="6" t="s">
        <v>65</v>
      </c>
      <c r="B5" s="7">
        <v>151</v>
      </c>
    </row>
    <row r="6" spans="1:2" x14ac:dyDescent="0.3">
      <c r="A6" s="6" t="s">
        <v>26</v>
      </c>
    </row>
    <row r="7" spans="1:2" x14ac:dyDescent="0.3">
      <c r="B7" s="7">
        <f>B2-B3</f>
        <v>105</v>
      </c>
    </row>
    <row r="8" spans="1:2" x14ac:dyDescent="0.3">
      <c r="B8" s="7">
        <f>B7/175</f>
        <v>0.6</v>
      </c>
    </row>
    <row r="9" spans="1:2" x14ac:dyDescent="0.3">
      <c r="A9" s="7" t="s">
        <v>70</v>
      </c>
      <c r="B9" s="15">
        <f>B8*1</f>
        <v>0.6</v>
      </c>
    </row>
    <row r="15" spans="1:2" x14ac:dyDescent="0.3">
      <c r="A15" s="7" t="s">
        <v>69</v>
      </c>
      <c r="B15" s="7">
        <v>175</v>
      </c>
    </row>
    <row r="18" spans="1:1" ht="15" x14ac:dyDescent="0.3">
      <c r="A18" s="8" t="s">
        <v>29</v>
      </c>
    </row>
    <row r="19" spans="1:1" ht="15" x14ac:dyDescent="0.3">
      <c r="A19" s="9"/>
    </row>
    <row r="20" spans="1:1" ht="15" x14ac:dyDescent="0.3">
      <c r="A20" s="10" t="s">
        <v>27</v>
      </c>
    </row>
    <row r="21" spans="1:1" ht="15" x14ac:dyDescent="0.3">
      <c r="A21" s="10" t="s">
        <v>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6A5CD-B8E1-4719-B49C-2F8E724531DB}">
  <dimension ref="A1:J6"/>
  <sheetViews>
    <sheetView workbookViewId="0">
      <selection activeCell="I17" sqref="I17"/>
    </sheetView>
  </sheetViews>
  <sheetFormatPr defaultColWidth="30" defaultRowHeight="14.4" x14ac:dyDescent="0.3"/>
  <cols>
    <col min="1" max="1" width="12.88671875" bestFit="1" customWidth="1"/>
    <col min="2" max="2" width="13.6640625" customWidth="1"/>
    <col min="3" max="3" width="24.5546875" bestFit="1" customWidth="1"/>
    <col min="4" max="4" width="7.21875" customWidth="1"/>
    <col min="5" max="5" width="17.6640625" bestFit="1" customWidth="1"/>
    <col min="6" max="6" width="14.5546875" customWidth="1"/>
    <col min="7" max="7" width="8.44140625" customWidth="1"/>
    <col min="8" max="8" width="10.5546875" bestFit="1" customWidth="1"/>
    <col min="9" max="9" width="21.109375" bestFit="1" customWidth="1"/>
  </cols>
  <sheetData>
    <row r="1" spans="1:10" ht="15" x14ac:dyDescent="0.3">
      <c r="A1" s="2" t="s">
        <v>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</row>
    <row r="2" spans="1:10" ht="15" x14ac:dyDescent="0.3">
      <c r="A2" s="3" t="s">
        <v>4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12" t="str">
        <f>IF(F3=E3, "Pass", "Fail")</f>
        <v>Fail</v>
      </c>
      <c r="H2" s="11">
        <v>45746</v>
      </c>
      <c r="I2" s="3" t="s">
        <v>44</v>
      </c>
      <c r="J2" s="5" t="str">
        <f>IF(F3=E3, "Pass", "Fail")</f>
        <v>Fail</v>
      </c>
    </row>
    <row r="3" spans="1:10" ht="15" x14ac:dyDescent="0.3">
      <c r="A3" s="3" t="s">
        <v>12</v>
      </c>
      <c r="B3" s="3" t="s">
        <v>45</v>
      </c>
      <c r="C3" s="3" t="s">
        <v>46</v>
      </c>
      <c r="D3" s="3" t="s">
        <v>47</v>
      </c>
      <c r="E3" s="3" t="s">
        <v>41</v>
      </c>
      <c r="F3" s="3" t="s">
        <v>48</v>
      </c>
      <c r="G3" s="12" t="str">
        <f t="shared" ref="G3:G6" si="0">IF(F4=E4, "Pass", "Fail")</f>
        <v>Fail</v>
      </c>
      <c r="H3" s="11">
        <v>45746</v>
      </c>
      <c r="I3" s="3" t="s">
        <v>49</v>
      </c>
    </row>
    <row r="4" spans="1:10" ht="15" x14ac:dyDescent="0.3">
      <c r="A4" s="3" t="s">
        <v>16</v>
      </c>
      <c r="B4" s="3" t="s">
        <v>50</v>
      </c>
      <c r="C4" s="3" t="s">
        <v>64</v>
      </c>
      <c r="D4" s="3" t="s">
        <v>51</v>
      </c>
      <c r="E4" s="3" t="s">
        <v>52</v>
      </c>
      <c r="F4" s="3" t="s">
        <v>42</v>
      </c>
      <c r="G4" s="3" t="str">
        <f t="shared" si="0"/>
        <v>Pass</v>
      </c>
      <c r="H4" s="11">
        <v>45746</v>
      </c>
      <c r="I4" s="3" t="s">
        <v>53</v>
      </c>
    </row>
    <row r="5" spans="1:10" ht="15" x14ac:dyDescent="0.3">
      <c r="A5" s="3" t="s">
        <v>20</v>
      </c>
      <c r="B5" s="3" t="s">
        <v>59</v>
      </c>
      <c r="C5" s="3" t="s">
        <v>61</v>
      </c>
      <c r="D5" s="3" t="s">
        <v>62</v>
      </c>
      <c r="E5" s="3" t="s">
        <v>61</v>
      </c>
      <c r="F5" s="3" t="s">
        <v>61</v>
      </c>
      <c r="G5" s="3" t="s">
        <v>43</v>
      </c>
      <c r="H5" s="11">
        <v>45746</v>
      </c>
      <c r="I5" s="3" t="s">
        <v>61</v>
      </c>
    </row>
    <row r="6" spans="1:10" ht="30" x14ac:dyDescent="0.3">
      <c r="A6" s="3" t="s">
        <v>8</v>
      </c>
      <c r="B6" s="3" t="s">
        <v>60</v>
      </c>
      <c r="C6" s="3" t="s">
        <v>61</v>
      </c>
      <c r="D6" s="3" t="s">
        <v>63</v>
      </c>
      <c r="E6" s="3" t="s">
        <v>41</v>
      </c>
      <c r="F6" s="3" t="s">
        <v>42</v>
      </c>
      <c r="G6" s="12" t="str">
        <f t="shared" si="0"/>
        <v>Pass</v>
      </c>
      <c r="H6" s="11">
        <v>45746</v>
      </c>
      <c r="I6" s="3" t="s">
        <v>44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3F9E-104A-40A8-8ECC-2B8F6D833A62}">
  <dimension ref="A1:F6"/>
  <sheetViews>
    <sheetView workbookViewId="0">
      <selection activeCell="C10" sqref="C10"/>
    </sheetView>
  </sheetViews>
  <sheetFormatPr defaultColWidth="18.33203125" defaultRowHeight="14.4" x14ac:dyDescent="0.3"/>
  <cols>
    <col min="1" max="1" width="12.88671875" bestFit="1" customWidth="1"/>
    <col min="2" max="2" width="12.77734375" customWidth="1"/>
    <col min="3" max="3" width="15.109375" customWidth="1"/>
    <col min="4" max="4" width="15.44140625" customWidth="1"/>
    <col min="5" max="5" width="16.5546875" customWidth="1"/>
    <col min="6" max="6" width="11.6640625" customWidth="1"/>
  </cols>
  <sheetData>
    <row r="1" spans="1:6" ht="15" x14ac:dyDescent="0.3">
      <c r="A1" s="2" t="s">
        <v>0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</row>
    <row r="2" spans="1:6" ht="15" x14ac:dyDescent="0.3">
      <c r="A2" s="3" t="s">
        <v>4</v>
      </c>
      <c r="B2" s="3">
        <f>COUNTIF('Test Case 1'!A:A, A2)</f>
        <v>1</v>
      </c>
      <c r="C2" s="3">
        <f>COUNTIFS('Test Case 1'!A:A, A2, 'Test Case 1'!G:G, "Pass")</f>
        <v>0</v>
      </c>
      <c r="D2" s="3">
        <v>2</v>
      </c>
      <c r="E2" s="3">
        <v>1</v>
      </c>
      <c r="F2" s="13">
        <f>((C2 - D2) / B2) * 100</f>
        <v>-200</v>
      </c>
    </row>
    <row r="3" spans="1:6" ht="15" x14ac:dyDescent="0.3">
      <c r="A3" s="3" t="s">
        <v>12</v>
      </c>
      <c r="B3" s="3">
        <f>COUNTIF('Test Case 1'!A:A, A3)</f>
        <v>1</v>
      </c>
      <c r="C3" s="3">
        <f>COUNTIFS('Test Case 1'!A:A, A3, 'Test Case 1'!G:G, "Pass")</f>
        <v>0</v>
      </c>
      <c r="D3" s="3">
        <v>1</v>
      </c>
      <c r="E3" s="3">
        <v>0</v>
      </c>
      <c r="F3" s="13">
        <f>((C3 - D3) / B3) * 100</f>
        <v>-100</v>
      </c>
    </row>
    <row r="4" spans="1:6" ht="15" x14ac:dyDescent="0.3">
      <c r="A4" s="3" t="s">
        <v>16</v>
      </c>
      <c r="B4" s="3">
        <f>COUNTIF('Test Case 1'!A:A, A4)</f>
        <v>1</v>
      </c>
      <c r="C4" s="3">
        <f>COUNTIFS('Test Case 1'!A:A, A4, 'Test Case 1'!G:G, "Pass")</f>
        <v>1</v>
      </c>
      <c r="D4" s="3"/>
      <c r="E4" s="3"/>
      <c r="F4" s="13">
        <f t="shared" ref="F4:F6" si="0">((C4 - D4) / B4) * 100</f>
        <v>100</v>
      </c>
    </row>
    <row r="5" spans="1:6" ht="15" x14ac:dyDescent="0.3">
      <c r="A5" s="3" t="s">
        <v>20</v>
      </c>
      <c r="B5" s="3">
        <f>COUNTIF('Test Case 1'!A:A, A5)</f>
        <v>1</v>
      </c>
      <c r="C5" s="3">
        <f>COUNTIFS('Test Case 1'!A:A, A5, 'Test Case 1'!G:G, "Pass")</f>
        <v>1</v>
      </c>
      <c r="D5" s="3"/>
      <c r="E5" s="3"/>
      <c r="F5" s="13">
        <f t="shared" si="0"/>
        <v>100</v>
      </c>
    </row>
    <row r="6" spans="1:6" ht="15" x14ac:dyDescent="0.3">
      <c r="A6" s="3" t="s">
        <v>8</v>
      </c>
      <c r="B6" s="3">
        <f>COUNTIF('Test Case 1'!A:A, A6)</f>
        <v>1</v>
      </c>
      <c r="C6" s="3">
        <f>COUNTIFS('Test Case 1'!A:A, A6, 'Test Case 1'!G:G, "Pass")</f>
        <v>1</v>
      </c>
      <c r="D6" s="3"/>
      <c r="E6" s="3"/>
      <c r="F6" s="13">
        <f t="shared" si="0"/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Definition</vt:lpstr>
      <vt:lpstr>Formula</vt:lpstr>
      <vt:lpstr>Test Case 1</vt:lpstr>
      <vt:lpstr>Test Case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Brenes</dc:creator>
  <cp:lastModifiedBy>Marlon Brenes</cp:lastModifiedBy>
  <dcterms:created xsi:type="dcterms:W3CDTF">2025-03-31T01:39:14Z</dcterms:created>
  <dcterms:modified xsi:type="dcterms:W3CDTF">2025-03-31T20:21:45Z</dcterms:modified>
</cp:coreProperties>
</file>